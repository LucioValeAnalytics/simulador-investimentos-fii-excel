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 Gamer\Downloads\Excel IA\"/>
    </mc:Choice>
  </mc:AlternateContent>
  <xr:revisionPtr revIDLastSave="0" documentId="13_ncr:1_{1E309569-D407-4586-AA78-1C53DA0BC0DC}" xr6:coauthVersionLast="47" xr6:coauthVersionMax="47" xr10:uidLastSave="{00000000-0000-0000-0000-000000000000}"/>
  <bookViews>
    <workbookView xWindow="-120" yWindow="-120" windowWidth="21840" windowHeight="13740" tabRatio="300" xr2:uid="{51DCBA3A-DC68-414E-B98A-547FFD44DB0E}"/>
  </bookViews>
  <sheets>
    <sheet name="Carteira" sheetId="1" r:id="rId1"/>
    <sheet name="Perfis" sheetId="2" r:id="rId2"/>
  </sheets>
  <definedNames>
    <definedName name="Anos">Carteira!$F$21</definedName>
    <definedName name="Aporte">Carteira!$F$20</definedName>
    <definedName name="Proposta">Carteira!$F$16</definedName>
    <definedName name="Rendimento">Carteira!$F$15</definedName>
    <definedName name="Salario">Carteira!$F$14</definedName>
    <definedName name="Taxa">Carteira!$F$22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0" i="1" l="1"/>
  <c r="E41" i="1"/>
  <c r="E42" i="1"/>
  <c r="E43" i="1"/>
  <c r="E44" i="1"/>
  <c r="E45" i="1"/>
  <c r="A5" i="2"/>
  <c r="A6" i="2"/>
  <c r="A7" i="2"/>
  <c r="A8" i="2"/>
  <c r="A9" i="2"/>
  <c r="A12" i="2"/>
  <c r="A13" i="2"/>
  <c r="A14" i="2"/>
  <c r="A15" i="2"/>
  <c r="A16" i="2"/>
  <c r="A17" i="2"/>
  <c r="A20" i="2"/>
  <c r="A21" i="2"/>
  <c r="A22" i="2"/>
  <c r="A23" i="2"/>
  <c r="A24" i="2"/>
  <c r="A25" i="2"/>
  <c r="A4" i="2"/>
  <c r="F16" i="1"/>
  <c r="F20" i="1" s="1"/>
  <c r="E32" i="1" l="1"/>
  <c r="F32" i="1" s="1"/>
  <c r="E37" i="1"/>
  <c r="F23" i="1"/>
  <c r="F24" i="1" s="1"/>
  <c r="E29" i="1"/>
  <c r="F29" i="1" s="1"/>
  <c r="E28" i="1"/>
  <c r="F28" i="1" s="1"/>
  <c r="E30" i="1"/>
  <c r="F30" i="1" s="1"/>
  <c r="E31" i="1"/>
  <c r="F31" i="1" s="1"/>
  <c r="F40" i="1"/>
  <c r="F41" i="1"/>
  <c r="F45" i="1"/>
  <c r="F44" i="1"/>
  <c r="F43" i="1"/>
  <c r="F42" i="1"/>
  <c r="F46" i="1" l="1"/>
</calcChain>
</file>

<file path=xl/sharedStrings.xml><?xml version="1.0" encoding="utf-8"?>
<sst xmlns="http://schemas.openxmlformats.org/spreadsheetml/2006/main" count="66" uniqueCount="32">
  <si>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</si>
  <si>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</si>
  <si>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</si>
  <si>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</si>
  <si>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</si>
  <si>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</si>
  <si>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</si>
  <si>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</si>
  <si>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</si>
  <si>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</si>
  <si>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</si>
  <si>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</si>
  <si>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Salário</t>
  </si>
  <si>
    <t>Rendimento da Carteira</t>
  </si>
  <si>
    <t>Configuração</t>
  </si>
  <si>
    <t>Dividendos</t>
  </si>
  <si>
    <t>Agressivo</t>
  </si>
  <si>
    <t>Moderado</t>
  </si>
  <si>
    <t>Conservador</t>
  </si>
  <si>
    <t>Percentual Sugerido</t>
  </si>
  <si>
    <t>Tipos de FII</t>
  </si>
  <si>
    <t>Valores</t>
  </si>
  <si>
    <t>Papel</t>
  </si>
  <si>
    <t>Tijolo</t>
  </si>
  <si>
    <t>Híbrido</t>
  </si>
  <si>
    <t>PERFIL</t>
  </si>
  <si>
    <t>FOFs</t>
  </si>
  <si>
    <t>Desenvolvimento</t>
  </si>
  <si>
    <t>Hotelarias</t>
  </si>
  <si>
    <t>Proc Key (Chave Composta)</t>
  </si>
  <si>
    <t>Investimento Sugerido (30%)</t>
  </si>
  <si>
    <t>VALOR A SER INVESTIDO por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</si>
</sst>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Microsoft YaHei"/>
      <family val="2"/>
    </font>
    <font>
      <b/>
      <sz val="16"/>
      <color rgb="FFD9E8ED"/>
      <name val="Microsoft YaHei"/>
      <family val="2"/>
    </font>
    <font>
      <sz val="11"/>
      <color theme="1"/>
      <name val="Microsoft YaHei"/>
      <family val="2"/>
    </font>
    <font>
      <sz val="11"/>
      <color rgb="FF245675"/>
      <name val="Microsoft YaHei"/>
      <family val="2"/>
    </font>
    <font>
      <b/>
      <sz val="11"/>
      <color rgb="FFD9E8ED"/>
      <name val="Microsoft YaHei"/>
      <family val="2"/>
    </font>
    <font>
      <b/>
      <sz val="10"/>
      <color rgb="FFD9E8ED"/>
      <name val="Microsoft YaHei"/>
      <family val="2"/>
    </font>
    <font>
      <b/>
      <sz val="11"/>
      <color theme="0"/>
      <name val="Microsoft YaHei"/>
      <family val="2"/>
    </font>
    <font>
      <sz val="10"/>
      <color theme="1"/>
      <name val="Microsoft YaHei"/>
      <family val="2"/>
    </font>
    <font>
      <b/>
      <sz val="11"/>
      <color theme="1"/>
      <name val="Microsoft YaHei"/>
      <family val="2"/>
    </font>
    <font>
      <u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172633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72633"/>
        <bgColor indexed="64"/>
      </patternFill>
    </fill>
    <fill>
      <patternFill patternType="solid">
        <fgColor rgb="FF24567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55B9E5"/>
        <bgColor indexed="64"/>
      </patternFill>
    </fill>
  </fills>
  <borders count="10">
    <border>
      <left/>
      <right/>
      <top/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5" borderId="0" applyNumberFormat="0" applyBorder="0" applyAlignment="0" applyProtection="0"/>
  </cellStyleXfs>
  <cellXfs count="55">
    <xf numFmtId="0" fontId="0" fillId="0" borderId="0" xfId="0"/>
    <xf numFmtId="0" fontId="0" fillId="0" borderId="0" xfId="0" applyBorder="1"/>
    <xf numFmtId="0" fontId="2" fillId="0" borderId="0" xfId="0" applyFont="1"/>
    <xf numFmtId="0" fontId="9" fillId="0" borderId="0" xfId="0" applyFont="1"/>
    <xf numFmtId="0" fontId="9" fillId="0" borderId="0" xfId="0" applyFont="1" applyBorder="1"/>
    <xf numFmtId="0" fontId="4" fillId="0" borderId="0" xfId="0" applyFont="1" applyAlignment="1">
      <alignment horizontal="left" indent="2"/>
    </xf>
    <xf numFmtId="0" fontId="4" fillId="0" borderId="0" xfId="0" applyFont="1" applyBorder="1" applyAlignment="1">
      <alignment horizontal="left" indent="2"/>
    </xf>
    <xf numFmtId="0" fontId="7" fillId="2" borderId="0" xfId="0" applyFont="1" applyFill="1" applyBorder="1" applyAlignment="1">
      <alignment horizontal="left" indent="2"/>
    </xf>
    <xf numFmtId="0" fontId="4" fillId="4" borderId="1" xfId="0" applyFont="1" applyFill="1" applyBorder="1" applyAlignment="1">
      <alignment horizontal="left" indent="2"/>
    </xf>
    <xf numFmtId="0" fontId="4" fillId="4" borderId="2" xfId="0" applyFont="1" applyFill="1" applyBorder="1" applyAlignment="1">
      <alignment horizontal="left" indent="2"/>
    </xf>
    <xf numFmtId="164" fontId="5" fillId="4" borderId="3" xfId="1" applyNumberFormat="1" applyFont="1" applyFill="1" applyBorder="1" applyAlignment="1">
      <alignment horizontal="left"/>
    </xf>
    <xf numFmtId="0" fontId="4" fillId="4" borderId="4" xfId="0" applyFont="1" applyFill="1" applyBorder="1" applyAlignment="1">
      <alignment horizontal="left" indent="2"/>
    </xf>
    <xf numFmtId="0" fontId="4" fillId="4" borderId="5" xfId="0" applyFont="1" applyFill="1" applyBorder="1" applyAlignment="1">
      <alignment horizontal="left" indent="2"/>
    </xf>
    <xf numFmtId="0" fontId="5" fillId="4" borderId="6" xfId="0" applyFont="1" applyFill="1" applyBorder="1" applyAlignment="1">
      <alignment horizontal="left"/>
    </xf>
    <xf numFmtId="10" fontId="5" fillId="4" borderId="6" xfId="0" applyNumberFormat="1" applyFont="1" applyFill="1" applyBorder="1" applyAlignment="1">
      <alignment horizontal="left"/>
    </xf>
    <xf numFmtId="0" fontId="6" fillId="3" borderId="4" xfId="0" applyFont="1" applyFill="1" applyBorder="1" applyAlignment="1">
      <alignment horizontal="left" indent="2"/>
    </xf>
    <xf numFmtId="0" fontId="6" fillId="3" borderId="5" xfId="0" applyFont="1" applyFill="1" applyBorder="1" applyAlignment="1">
      <alignment horizontal="left" indent="2"/>
    </xf>
    <xf numFmtId="0" fontId="10" fillId="3" borderId="5" xfId="0" applyFont="1" applyFill="1" applyBorder="1" applyAlignment="1">
      <alignment horizontal="left" indent="2"/>
    </xf>
    <xf numFmtId="164" fontId="8" fillId="3" borderId="6" xfId="1" applyNumberFormat="1" applyFont="1" applyFill="1" applyBorder="1" applyAlignment="1">
      <alignment horizontal="left"/>
    </xf>
    <xf numFmtId="0" fontId="6" fillId="3" borderId="7" xfId="0" applyFont="1" applyFill="1" applyBorder="1" applyAlignment="1">
      <alignment horizontal="left" indent="2"/>
    </xf>
    <xf numFmtId="0" fontId="6" fillId="3" borderId="8" xfId="0" applyFont="1" applyFill="1" applyBorder="1" applyAlignment="1">
      <alignment horizontal="left" indent="2"/>
    </xf>
    <xf numFmtId="0" fontId="10" fillId="3" borderId="8" xfId="0" applyFont="1" applyFill="1" applyBorder="1" applyAlignment="1">
      <alignment horizontal="left" indent="2"/>
    </xf>
    <xf numFmtId="164" fontId="8" fillId="3" borderId="9" xfId="1" applyNumberFormat="1" applyFont="1" applyFill="1" applyBorder="1" applyAlignment="1">
      <alignment horizontal="left"/>
    </xf>
    <xf numFmtId="164" fontId="4" fillId="4" borderId="3" xfId="1" applyNumberFormat="1" applyFont="1" applyFill="1" applyBorder="1" applyAlignment="1">
      <alignment horizontal="left"/>
    </xf>
    <xf numFmtId="10" fontId="4" fillId="4" borderId="6" xfId="2" applyNumberFormat="1" applyFont="1" applyFill="1" applyBorder="1" applyAlignment="1">
      <alignment horizontal="left"/>
    </xf>
    <xf numFmtId="164" fontId="4" fillId="4" borderId="9" xfId="1" applyNumberFormat="1" applyFont="1" applyFill="1" applyBorder="1" applyAlignment="1">
      <alignment horizontal="left"/>
    </xf>
    <xf numFmtId="164" fontId="4" fillId="4" borderId="2" xfId="1" applyNumberFormat="1" applyFont="1" applyFill="1" applyBorder="1" applyAlignment="1">
      <alignment horizontal="left"/>
    </xf>
    <xf numFmtId="164" fontId="4" fillId="4" borderId="3" xfId="0" applyNumberFormat="1" applyFont="1" applyFill="1" applyBorder="1" applyAlignment="1">
      <alignment horizontal="left"/>
    </xf>
    <xf numFmtId="164" fontId="4" fillId="4" borderId="5" xfId="1" applyNumberFormat="1" applyFont="1" applyFill="1" applyBorder="1" applyAlignment="1">
      <alignment horizontal="left"/>
    </xf>
    <xf numFmtId="164" fontId="4" fillId="4" borderId="6" xfId="0" applyNumberFormat="1" applyFont="1" applyFill="1" applyBorder="1" applyAlignment="1">
      <alignment horizontal="left"/>
    </xf>
    <xf numFmtId="0" fontId="4" fillId="4" borderId="7" xfId="0" applyFont="1" applyFill="1" applyBorder="1" applyAlignment="1">
      <alignment horizontal="left" indent="2"/>
    </xf>
    <xf numFmtId="0" fontId="4" fillId="4" borderId="8" xfId="0" applyFont="1" applyFill="1" applyBorder="1" applyAlignment="1">
      <alignment horizontal="left" indent="2"/>
    </xf>
    <xf numFmtId="164" fontId="4" fillId="4" borderId="8" xfId="1" applyNumberFormat="1" applyFont="1" applyFill="1" applyBorder="1" applyAlignment="1">
      <alignment horizontal="left"/>
    </xf>
    <xf numFmtId="164" fontId="4" fillId="4" borderId="9" xfId="0" applyNumberFormat="1" applyFont="1" applyFill="1" applyBorder="1" applyAlignment="1">
      <alignment horizontal="left"/>
    </xf>
    <xf numFmtId="0" fontId="11" fillId="0" borderId="0" xfId="0" applyFont="1"/>
    <xf numFmtId="0" fontId="13" fillId="0" borderId="0" xfId="0" applyFont="1"/>
    <xf numFmtId="164" fontId="13" fillId="0" borderId="0" xfId="0" applyNumberFormat="1" applyFont="1" applyAlignment="1">
      <alignment horizontal="center"/>
    </xf>
    <xf numFmtId="9" fontId="0" fillId="0" borderId="0" xfId="0" applyNumberFormat="1" applyAlignment="1">
      <alignment horizontal="left"/>
    </xf>
    <xf numFmtId="0" fontId="13" fillId="6" borderId="0" xfId="0" applyFont="1" applyFill="1"/>
    <xf numFmtId="0" fontId="0" fillId="6" borderId="0" xfId="0" applyFill="1"/>
    <xf numFmtId="164" fontId="0" fillId="6" borderId="0" xfId="0" applyNumberFormat="1" applyFill="1"/>
    <xf numFmtId="0" fontId="14" fillId="7" borderId="0" xfId="3" applyFont="1" applyFill="1"/>
    <xf numFmtId="0" fontId="14" fillId="7" borderId="0" xfId="3" applyFont="1" applyFill="1" applyAlignment="1">
      <alignment horizontal="center"/>
    </xf>
    <xf numFmtId="164" fontId="0" fillId="0" borderId="0" xfId="0" applyNumberFormat="1" applyAlignment="1">
      <alignment horizontal="left" indent="2"/>
    </xf>
    <xf numFmtId="0" fontId="13" fillId="0" borderId="0" xfId="0" applyFont="1" applyAlignment="1">
      <alignment horizontal="left" indent="2"/>
    </xf>
    <xf numFmtId="0" fontId="3" fillId="2" borderId="0" xfId="0" applyFont="1" applyFill="1" applyBorder="1" applyAlignment="1">
      <alignment horizontal="left"/>
    </xf>
    <xf numFmtId="0" fontId="13" fillId="6" borderId="0" xfId="0" applyFont="1" applyFill="1" applyAlignment="1">
      <alignment horizontal="center"/>
    </xf>
    <xf numFmtId="0" fontId="3" fillId="2" borderId="0" xfId="0" applyFont="1" applyFill="1" applyBorder="1" applyAlignment="1">
      <alignment horizontal="left" indent="2"/>
    </xf>
    <xf numFmtId="0" fontId="4" fillId="4" borderId="1" xfId="0" applyFont="1" applyFill="1" applyBorder="1" applyAlignment="1">
      <alignment horizontal="left" indent="2"/>
    </xf>
    <xf numFmtId="0" fontId="4" fillId="4" borderId="2" xfId="0" applyFont="1" applyFill="1" applyBorder="1" applyAlignment="1">
      <alignment horizontal="left" indent="2"/>
    </xf>
    <xf numFmtId="0" fontId="4" fillId="4" borderId="4" xfId="0" applyFont="1" applyFill="1" applyBorder="1" applyAlignment="1">
      <alignment horizontal="left" indent="2"/>
    </xf>
    <xf numFmtId="0" fontId="4" fillId="4" borderId="5" xfId="0" applyFont="1" applyFill="1" applyBorder="1" applyAlignment="1">
      <alignment horizontal="left" indent="2"/>
    </xf>
    <xf numFmtId="0" fontId="4" fillId="4" borderId="7" xfId="0" applyFont="1" applyFill="1" applyBorder="1" applyAlignment="1">
      <alignment horizontal="left" indent="2"/>
    </xf>
    <xf numFmtId="0" fontId="4" fillId="4" borderId="8" xfId="0" applyFont="1" applyFill="1" applyBorder="1" applyAlignment="1">
      <alignment horizontal="left" indent="2"/>
    </xf>
    <xf numFmtId="9" fontId="13" fillId="7" borderId="0" xfId="0" applyNumberFormat="1" applyFont="1" applyFill="1" applyAlignment="1">
      <alignment horizontal="left" indent="2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55B9E5"/>
      <color rgb="FF172633"/>
      <color rgb="FF245675"/>
      <color rgb="FFD9E8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3"/>
          <c:order val="3"/>
          <c:spPr>
            <a:solidFill>
              <a:srgbClr val="55B9E5"/>
            </a:solidFill>
            <a:ln>
              <a:noFill/>
            </a:ln>
            <a:effectLst/>
          </c:spPr>
          <c:invertIfNegative val="0"/>
          <c:dLbls>
            <c:dLbl>
              <c:idx val="3"/>
              <c:tx>
                <c:rich>
                  <a:bodyPr/>
                  <a:lstStyle/>
                  <a:p>
                    <a:fld id="{C0D12C07-C5FC-454A-9985-24A0ACEC8F4A}" type="VALUE">
                      <a:rPr lang="en-US"/>
                      <a:pPr/>
                      <a:t>[VALOR]</a:t>
                    </a:fld>
                    <a:endParaRPr lang="pt-BR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CD14-425F-A75E-7E514D78DF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17263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Carteira!$B$40:$B$45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Carteira!$F$40:$F$45</c:f>
              <c:numCache>
                <c:formatCode>"R$"\ #,##0.00</c:formatCode>
                <c:ptCount val="6"/>
                <c:pt idx="0">
                  <c:v>414</c:v>
                </c:pt>
                <c:pt idx="1">
                  <c:v>482.99999999999994</c:v>
                </c:pt>
                <c:pt idx="2">
                  <c:v>138</c:v>
                </c:pt>
                <c:pt idx="3">
                  <c:v>69</c:v>
                </c:pt>
                <c:pt idx="4">
                  <c:v>138</c:v>
                </c:pt>
                <c:pt idx="5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14-425F-A75E-7E514D78DF69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24432960"/>
        <c:axId val="5244324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Carteira!$B$40:$B$45</c15:sqref>
                        </c15:formulaRef>
                      </c:ext>
                    </c:extLst>
                    <c:strCache>
                      <c:ptCount val="6"/>
                      <c:pt idx="0">
                        <c:v>Papel</c:v>
                      </c:pt>
                      <c:pt idx="1">
                        <c:v>Tijolo</c:v>
                      </c:pt>
                      <c:pt idx="2">
                        <c:v>Híbrido</c:v>
                      </c:pt>
                      <c:pt idx="3">
                        <c:v>FOFs</c:v>
                      </c:pt>
                      <c:pt idx="4">
                        <c:v>Desenvolvimento</c:v>
                      </c:pt>
                      <c:pt idx="5">
                        <c:v>Hotelarias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Carteira!$C$40:$C$45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D14-425F-A75E-7E514D78DF69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Carteira!$B$40:$B$45</c15:sqref>
                        </c15:formulaRef>
                      </c:ext>
                    </c:extLst>
                    <c:strCache>
                      <c:ptCount val="6"/>
                      <c:pt idx="0">
                        <c:v>Papel</c:v>
                      </c:pt>
                      <c:pt idx="1">
                        <c:v>Tijolo</c:v>
                      </c:pt>
                      <c:pt idx="2">
                        <c:v>Híbrido</c:v>
                      </c:pt>
                      <c:pt idx="3">
                        <c:v>FOFs</c:v>
                      </c:pt>
                      <c:pt idx="4">
                        <c:v>Desenvolvimento</c:v>
                      </c:pt>
                      <c:pt idx="5">
                        <c:v>Hotelarias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Carteira!$D$40:$D$45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D14-425F-A75E-7E514D78DF69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Carteira!$B$40:$B$45</c15:sqref>
                        </c15:formulaRef>
                      </c:ext>
                    </c:extLst>
                    <c:strCache>
                      <c:ptCount val="6"/>
                      <c:pt idx="0">
                        <c:v>Papel</c:v>
                      </c:pt>
                      <c:pt idx="1">
                        <c:v>Tijolo</c:v>
                      </c:pt>
                      <c:pt idx="2">
                        <c:v>Híbrido</c:v>
                      </c:pt>
                      <c:pt idx="3">
                        <c:v>FOFs</c:v>
                      </c:pt>
                      <c:pt idx="4">
                        <c:v>Desenvolvimento</c:v>
                      </c:pt>
                      <c:pt idx="5">
                        <c:v>Hotelarias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Carteira!$E$40:$E$45</c15:sqref>
                        </c15:formulaRef>
                      </c:ext>
                    </c:extLst>
                    <c:numCache>
                      <c:formatCode>0%</c:formatCode>
                      <c:ptCount val="6"/>
                      <c:pt idx="0">
                        <c:v>0.3</c:v>
                      </c:pt>
                      <c:pt idx="1">
                        <c:v>0.35</c:v>
                      </c:pt>
                      <c:pt idx="2">
                        <c:v>0.1</c:v>
                      </c:pt>
                      <c:pt idx="3">
                        <c:v>0.05</c:v>
                      </c:pt>
                      <c:pt idx="4">
                        <c:v>0.1</c:v>
                      </c:pt>
                      <c:pt idx="5">
                        <c:v>0.1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D14-425F-A75E-7E514D78DF69}"/>
                  </c:ext>
                </c:extLst>
              </c15:ser>
            </c15:filteredBarSeries>
          </c:ext>
        </c:extLst>
      </c:barChart>
      <c:catAx>
        <c:axId val="52443296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4432480"/>
        <c:crosses val="autoZero"/>
        <c:auto val="0"/>
        <c:lblAlgn val="ctr"/>
        <c:lblOffset val="100"/>
        <c:noMultiLvlLbl val="0"/>
      </c:catAx>
      <c:valAx>
        <c:axId val="524432480"/>
        <c:scaling>
          <c:orientation val="minMax"/>
        </c:scaling>
        <c:delete val="1"/>
        <c:axPos val="t"/>
        <c:numFmt formatCode="&quot;R$&quot;\ #,##0.00" sourceLinked="1"/>
        <c:majorTickMark val="out"/>
        <c:minorTickMark val="none"/>
        <c:tickLblPos val="nextTo"/>
        <c:crossAx val="524432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1" i="0" baseline="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590549</xdr:colOff>
      <xdr:row>1</xdr:row>
      <xdr:rowOff>123824</xdr:rowOff>
    </xdr:from>
    <xdr:to>
      <xdr:col>6</xdr:col>
      <xdr:colOff>9524</xdr:colOff>
      <xdr:row>10</xdr:row>
      <xdr:rowOff>76199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73EDF0C-32BB-4A83-6CA9-2ACBAE4AB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49" y="314324"/>
          <a:ext cx="5514975" cy="1838325"/>
        </a:xfrm>
        <a:prstGeom prst="rect">
          <a:avLst/>
        </a:prstGeom>
      </xdr:spPr>
    </xdr:pic>
    <xdr:clientData/>
  </xdr:twoCellAnchor>
  <xdr:twoCellAnchor>
    <xdr:from>
      <xdr:col>1</xdr:col>
      <xdr:colOff>3967</xdr:colOff>
      <xdr:row>46</xdr:row>
      <xdr:rowOff>136526</xdr:rowOff>
    </xdr:from>
    <xdr:to>
      <xdr:col>6</xdr:col>
      <xdr:colOff>7936</xdr:colOff>
      <xdr:row>58</xdr:row>
      <xdr:rowOff>134938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FFB2C3F-9E9B-72FD-5390-05AB8E4ABB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22330-1FE1-4DC9-88C9-D732B5A90DED}">
  <dimension ref="A2:J74"/>
  <sheetViews>
    <sheetView showGridLines="0" tabSelected="1" zoomScale="120" zoomScaleNormal="120" workbookViewId="0">
      <selection activeCell="E36" sqref="E36"/>
    </sheetView>
  </sheetViews>
  <sheetFormatPr defaultColWidth="0" defaultRowHeight="15" x14ac:dyDescent="0.25"/>
  <cols>
    <col min="1" max="3" width="9.140625" customWidth="1"/>
    <col min="4" max="4" width="19" customWidth="1"/>
    <col min="5" max="5" width="22.28515625" customWidth="1"/>
    <col min="6" max="6" width="22.7109375" customWidth="1"/>
    <col min="7" max="7" width="11" customWidth="1"/>
    <col min="8" max="9" width="9.140625" hidden="1" customWidth="1"/>
    <col min="10" max="10" width="15.28515625" hidden="1" customWidth="1"/>
    <col min="11" max="11" width="9.140625" hidden="1" customWidth="1"/>
    <col min="12" max="16384" width="9.140625" hidden="1"/>
  </cols>
  <sheetData>
    <row r="2" spans="1:6" ht="16.5" x14ac:dyDescent="0.35">
      <c r="B2" s="3"/>
      <c r="C2" s="3"/>
      <c r="D2" s="3"/>
      <c r="E2" s="3"/>
      <c r="F2" s="3"/>
    </row>
    <row r="3" spans="1:6" ht="16.5" x14ac:dyDescent="0.35">
      <c r="B3" s="3"/>
      <c r="C3" s="3"/>
      <c r="D3" s="3"/>
      <c r="E3" s="3"/>
      <c r="F3" s="3"/>
    </row>
    <row r="4" spans="1:6" ht="16.5" x14ac:dyDescent="0.35">
      <c r="B4" s="3"/>
      <c r="C4" s="3"/>
      <c r="D4" s="3"/>
      <c r="E4" s="3"/>
      <c r="F4" s="3"/>
    </row>
    <row r="5" spans="1:6" ht="16.5" x14ac:dyDescent="0.35">
      <c r="B5" s="3"/>
      <c r="C5" s="3"/>
      <c r="D5" s="3"/>
      <c r="E5" s="3"/>
      <c r="F5" s="3"/>
    </row>
    <row r="6" spans="1:6" ht="16.5" x14ac:dyDescent="0.35">
      <c r="B6" s="3"/>
      <c r="C6" s="3"/>
      <c r="D6" s="3"/>
      <c r="E6" s="3"/>
      <c r="F6" s="3"/>
    </row>
    <row r="7" spans="1:6" ht="16.5" x14ac:dyDescent="0.35">
      <c r="B7" s="3"/>
      <c r="C7" s="3"/>
      <c r="D7" s="3"/>
      <c r="E7" s="3"/>
      <c r="F7" s="3"/>
    </row>
    <row r="8" spans="1:6" ht="16.5" x14ac:dyDescent="0.35">
      <c r="B8" s="3"/>
      <c r="C8" s="3"/>
      <c r="D8" s="3"/>
      <c r="E8" s="3"/>
      <c r="F8" s="3"/>
    </row>
    <row r="9" spans="1:6" ht="16.5" x14ac:dyDescent="0.35">
      <c r="B9" s="3"/>
      <c r="C9" s="3"/>
      <c r="D9" s="3"/>
      <c r="E9" s="3"/>
      <c r="F9" s="3"/>
    </row>
    <row r="10" spans="1:6" ht="16.5" x14ac:dyDescent="0.35">
      <c r="B10" s="3"/>
      <c r="C10" s="3"/>
      <c r="D10" s="3"/>
      <c r="E10" s="3"/>
      <c r="F10" s="3"/>
    </row>
    <row r="11" spans="1:6" s="2" customFormat="1" ht="14.25" customHeight="1" x14ac:dyDescent="0.4">
      <c r="A11" s="1"/>
      <c r="B11" s="4"/>
      <c r="C11" s="4"/>
      <c r="D11" s="4"/>
      <c r="E11" s="4"/>
      <c r="F11" s="4"/>
    </row>
    <row r="12" spans="1:6" ht="16.5" x14ac:dyDescent="0.35">
      <c r="A12" s="1"/>
      <c r="B12" s="3"/>
      <c r="C12" s="3"/>
      <c r="D12" s="3"/>
      <c r="E12" s="3"/>
      <c r="F12" s="3"/>
    </row>
    <row r="13" spans="1:6" ht="22.5" x14ac:dyDescent="0.4">
      <c r="A13" s="1"/>
      <c r="B13" s="45" t="s">
        <v>14</v>
      </c>
      <c r="C13" s="45"/>
      <c r="D13" s="45"/>
      <c r="E13" s="45"/>
      <c r="F13" s="45"/>
    </row>
    <row r="14" spans="1:6" ht="17.25" thickBot="1" x14ac:dyDescent="0.35">
      <c r="A14" s="1"/>
      <c r="B14" s="48" t="s">
        <v>12</v>
      </c>
      <c r="C14" s="49"/>
      <c r="D14" s="49"/>
      <c r="E14" s="49"/>
      <c r="F14" s="23">
        <v>4600</v>
      </c>
    </row>
    <row r="15" spans="1:6" ht="17.25" thickBot="1" x14ac:dyDescent="0.35">
      <c r="A15" s="1"/>
      <c r="B15" s="50" t="s">
        <v>13</v>
      </c>
      <c r="C15" s="51"/>
      <c r="D15" s="51"/>
      <c r="E15" s="51"/>
      <c r="F15" s="24">
        <v>6.0000000000000001E-3</v>
      </c>
    </row>
    <row r="16" spans="1:6" ht="16.5" x14ac:dyDescent="0.3">
      <c r="A16" s="1"/>
      <c r="B16" s="52" t="s">
        <v>30</v>
      </c>
      <c r="C16" s="53"/>
      <c r="D16" s="53"/>
      <c r="E16" s="53"/>
      <c r="F16" s="25">
        <f>F14*30%</f>
        <v>1380</v>
      </c>
    </row>
    <row r="17" spans="1:6" ht="16.5" x14ac:dyDescent="0.3">
      <c r="A17" s="1"/>
      <c r="B17" s="5"/>
      <c r="C17" s="5"/>
      <c r="D17" s="5"/>
      <c r="E17" s="5"/>
      <c r="F17" s="5"/>
    </row>
    <row r="18" spans="1:6" ht="16.5" x14ac:dyDescent="0.3">
      <c r="A18" s="1"/>
      <c r="B18" s="5"/>
      <c r="C18" s="5"/>
      <c r="D18" s="5"/>
      <c r="E18" s="5"/>
      <c r="F18" s="5"/>
    </row>
    <row r="19" spans="1:6" ht="22.5" x14ac:dyDescent="0.4">
      <c r="A19" s="1"/>
      <c r="B19" s="47" t="s">
        <v>5</v>
      </c>
      <c r="C19" s="47"/>
      <c r="D19" s="47"/>
      <c r="E19" s="47"/>
      <c r="F19" s="47"/>
    </row>
    <row r="20" spans="1:6" ht="17.25" thickBot="1" x14ac:dyDescent="0.35">
      <c r="A20" s="1"/>
      <c r="B20" s="8" t="s">
        <v>0</v>
      </c>
      <c r="C20" s="9"/>
      <c r="D20" s="9"/>
      <c r="E20" s="9"/>
      <c r="F20" s="10">
        <f>Proposta</f>
        <v>1380</v>
      </c>
    </row>
    <row r="21" spans="1:6" ht="17.25" thickBot="1" x14ac:dyDescent="0.35">
      <c r="A21" s="1"/>
      <c r="B21" s="11" t="s">
        <v>1</v>
      </c>
      <c r="C21" s="12"/>
      <c r="D21" s="12"/>
      <c r="E21" s="12"/>
      <c r="F21" s="13">
        <v>5</v>
      </c>
    </row>
    <row r="22" spans="1:6" ht="17.25" thickBot="1" x14ac:dyDescent="0.35">
      <c r="A22" s="1"/>
      <c r="B22" s="11" t="s">
        <v>2</v>
      </c>
      <c r="C22" s="12"/>
      <c r="D22" s="12"/>
      <c r="E22" s="12"/>
      <c r="F22" s="14">
        <v>1.0789999999999999E-2</v>
      </c>
    </row>
    <row r="23" spans="1:6" ht="15.75" thickBot="1" x14ac:dyDescent="0.3">
      <c r="A23" s="1"/>
      <c r="B23" s="15" t="s">
        <v>3</v>
      </c>
      <c r="C23" s="16"/>
      <c r="D23" s="16"/>
      <c r="E23" s="17"/>
      <c r="F23" s="18">
        <f>FV(Taxa,Anos*12,Aporte)*-1</f>
        <v>115612.14131791294</v>
      </c>
    </row>
    <row r="24" spans="1:6" x14ac:dyDescent="0.25">
      <c r="B24" s="19" t="s">
        <v>4</v>
      </c>
      <c r="C24" s="20"/>
      <c r="D24" s="20"/>
      <c r="E24" s="21"/>
      <c r="F24" s="22">
        <f>F23*Rendimento</f>
        <v>693.67284790747772</v>
      </c>
    </row>
    <row r="25" spans="1:6" ht="16.5" x14ac:dyDescent="0.3">
      <c r="B25" s="6"/>
      <c r="C25" s="6"/>
      <c r="D25" s="6"/>
      <c r="E25" s="6"/>
      <c r="F25" s="6"/>
    </row>
    <row r="26" spans="1:6" ht="16.5" x14ac:dyDescent="0.3">
      <c r="B26" s="6"/>
      <c r="C26" s="6"/>
      <c r="D26" s="6"/>
      <c r="E26" s="6"/>
      <c r="F26" s="6"/>
    </row>
    <row r="27" spans="1:6" ht="22.5" x14ac:dyDescent="0.4">
      <c r="B27" s="47" t="s">
        <v>11</v>
      </c>
      <c r="C27" s="47"/>
      <c r="D27" s="47"/>
      <c r="E27" s="47"/>
      <c r="F27" s="7" t="s">
        <v>15</v>
      </c>
    </row>
    <row r="28" spans="1:6" ht="17.25" thickBot="1" x14ac:dyDescent="0.35">
      <c r="B28" s="8" t="s">
        <v>6</v>
      </c>
      <c r="C28" s="9"/>
      <c r="D28" s="9"/>
      <c r="E28" s="26">
        <f>FV($F$22,2*12,$F$20)*-1</f>
        <v>37574.1256707504</v>
      </c>
      <c r="F28" s="27">
        <f>E28*Rendimento</f>
        <v>225.4447540245024</v>
      </c>
    </row>
    <row r="29" spans="1:6" ht="17.25" thickBot="1" x14ac:dyDescent="0.35">
      <c r="B29" s="11" t="s">
        <v>7</v>
      </c>
      <c r="C29" s="12"/>
      <c r="D29" s="12"/>
      <c r="E29" s="28">
        <f>FV($F$22,5*12,$F$20)*-1</f>
        <v>115612.14131791294</v>
      </c>
      <c r="F29" s="29">
        <f>E29*Rendimento</f>
        <v>693.67284790747772</v>
      </c>
    </row>
    <row r="30" spans="1:6" ht="17.25" thickBot="1" x14ac:dyDescent="0.35">
      <c r="B30" s="11" t="s">
        <v>8</v>
      </c>
      <c r="C30" s="12"/>
      <c r="D30" s="12"/>
      <c r="E30" s="28">
        <f>FV($F$22,10*12,$F$20)*-1</f>
        <v>335732.21329163766</v>
      </c>
      <c r="F30" s="29">
        <f>E30*Rendimento</f>
        <v>2014.393279749826</v>
      </c>
    </row>
    <row r="31" spans="1:6" ht="17.25" thickBot="1" x14ac:dyDescent="0.35">
      <c r="B31" s="11" t="s">
        <v>9</v>
      </c>
      <c r="C31" s="12"/>
      <c r="D31" s="12"/>
      <c r="E31" s="28">
        <f>FV($F$22,20*12,$F$20)*-1</f>
        <v>1552773.7921339711</v>
      </c>
      <c r="F31" s="29">
        <f>E31*Rendimento</f>
        <v>9316.6427528038275</v>
      </c>
    </row>
    <row r="32" spans="1:6" ht="16.5" x14ac:dyDescent="0.3">
      <c r="B32" s="30" t="s">
        <v>10</v>
      </c>
      <c r="C32" s="31"/>
      <c r="D32" s="31"/>
      <c r="E32" s="32">
        <f>FV($F$22,30*12,$F$20)*-1</f>
        <v>5964594.1239065062</v>
      </c>
      <c r="F32" s="33">
        <f>E32*Rendimento</f>
        <v>35787.564743439041</v>
      </c>
    </row>
    <row r="35" spans="2:6" x14ac:dyDescent="0.25">
      <c r="B35" s="34"/>
    </row>
    <row r="36" spans="2:6" x14ac:dyDescent="0.25">
      <c r="B36" s="41" t="s">
        <v>25</v>
      </c>
      <c r="C36" s="41"/>
      <c r="D36" s="41"/>
      <c r="E36" s="42" t="s">
        <v>17</v>
      </c>
      <c r="F36" s="41"/>
    </row>
    <row r="37" spans="2:6" x14ac:dyDescent="0.25">
      <c r="B37" s="35" t="s">
        <v>31</v>
      </c>
      <c r="C37" s="35"/>
      <c r="D37" s="35"/>
      <c r="E37" s="36">
        <f>Aporte</f>
        <v>1380</v>
      </c>
      <c r="F37" s="35"/>
    </row>
    <row r="39" spans="2:6" x14ac:dyDescent="0.25">
      <c r="B39" s="46" t="s">
        <v>20</v>
      </c>
      <c r="C39" s="46"/>
      <c r="D39" s="46"/>
      <c r="E39" s="38" t="s">
        <v>19</v>
      </c>
      <c r="F39" s="38" t="s">
        <v>21</v>
      </c>
    </row>
    <row r="40" spans="2:6" x14ac:dyDescent="0.25">
      <c r="B40" s="44" t="s">
        <v>22</v>
      </c>
      <c r="E40" s="54">
        <f>VLOOKUP($E$36&amp;" - "&amp;B40,Perfis!A4:D25,4,FALSE)</f>
        <v>0.3</v>
      </c>
      <c r="F40" s="43">
        <f>E40*$E$37</f>
        <v>414</v>
      </c>
    </row>
    <row r="41" spans="2:6" x14ac:dyDescent="0.25">
      <c r="B41" s="44" t="s">
        <v>23</v>
      </c>
      <c r="E41" s="54">
        <f>VLOOKUP($E$36&amp;" - "&amp;B41,Perfis!A5:D26,4,FALSE)</f>
        <v>0.35</v>
      </c>
      <c r="F41" s="43">
        <f t="shared" ref="F41:F45" si="0">E41*$E$37</f>
        <v>482.99999999999994</v>
      </c>
    </row>
    <row r="42" spans="2:6" x14ac:dyDescent="0.25">
      <c r="B42" s="44" t="s">
        <v>24</v>
      </c>
      <c r="E42" s="54">
        <f>VLOOKUP($E$36&amp;" - "&amp;B42,Perfis!A6:D27,4,FALSE)</f>
        <v>0.1</v>
      </c>
      <c r="F42" s="43">
        <f t="shared" si="0"/>
        <v>138</v>
      </c>
    </row>
    <row r="43" spans="2:6" x14ac:dyDescent="0.25">
      <c r="B43" s="44" t="s">
        <v>26</v>
      </c>
      <c r="E43" s="54">
        <f>VLOOKUP($E$36&amp;" - "&amp;B43,Perfis!A7:D28,4,FALSE)</f>
        <v>0.05</v>
      </c>
      <c r="F43" s="43">
        <f t="shared" si="0"/>
        <v>69</v>
      </c>
    </row>
    <row r="44" spans="2:6" x14ac:dyDescent="0.25">
      <c r="B44" s="44" t="s">
        <v>27</v>
      </c>
      <c r="E44" s="54">
        <f>VLOOKUP($E$36&amp;" - "&amp;B44,Perfis!A8:D29,4,FALSE)</f>
        <v>0.1</v>
      </c>
      <c r="F44" s="43">
        <f t="shared" si="0"/>
        <v>138</v>
      </c>
    </row>
    <row r="45" spans="2:6" x14ac:dyDescent="0.25">
      <c r="B45" s="44" t="s">
        <v>28</v>
      </c>
      <c r="E45" s="54">
        <f>VLOOKUP($E$36&amp;" - "&amp;B45,Perfis!A9:D30,4,FALSE)</f>
        <v>0.1</v>
      </c>
      <c r="F45" s="43">
        <f t="shared" si="0"/>
        <v>138</v>
      </c>
    </row>
    <row r="46" spans="2:6" x14ac:dyDescent="0.25">
      <c r="B46" s="39"/>
      <c r="C46" s="39"/>
      <c r="D46" s="39"/>
      <c r="E46" s="39"/>
      <c r="F46" s="40">
        <f>SUM(F40:F45)</f>
        <v>1380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</sheetData>
  <mergeCells count="7">
    <mergeCell ref="B13:F13"/>
    <mergeCell ref="B39:D39"/>
    <mergeCell ref="B27:E27"/>
    <mergeCell ref="B14:E14"/>
    <mergeCell ref="B15:E15"/>
    <mergeCell ref="B16:E16"/>
    <mergeCell ref="B19:F19"/>
  </mergeCells>
  <dataValidations count="1">
    <dataValidation type="list" allowBlank="1" showInputMessage="1" showErrorMessage="1" sqref="E36" xr:uid="{29E7330E-1FBE-41C1-AB93-39934382BC64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506F2-320E-4BA4-AD44-4C1BA2F9DCAC}">
  <dimension ref="A2:D25"/>
  <sheetViews>
    <sheetView workbookViewId="0">
      <selection activeCell="G14" sqref="G14"/>
    </sheetView>
  </sheetViews>
  <sheetFormatPr defaultRowHeight="15" x14ac:dyDescent="0.25"/>
  <cols>
    <col min="1" max="1" width="30.7109375" customWidth="1"/>
    <col min="2" max="2" width="13.28515625" customWidth="1"/>
    <col min="3" max="3" width="18.140625" customWidth="1"/>
  </cols>
  <sheetData>
    <row r="2" spans="1:4" x14ac:dyDescent="0.25">
      <c r="A2" s="35" t="s">
        <v>29</v>
      </c>
    </row>
    <row r="4" spans="1:4" x14ac:dyDescent="0.25">
      <c r="A4" t="str">
        <f>B4&amp;" - "&amp;C4</f>
        <v>Conservador - Papel</v>
      </c>
      <c r="B4" t="s">
        <v>18</v>
      </c>
      <c r="C4" t="s">
        <v>22</v>
      </c>
      <c r="D4" s="37">
        <v>0.3</v>
      </c>
    </row>
    <row r="5" spans="1:4" x14ac:dyDescent="0.25">
      <c r="A5" t="str">
        <f t="shared" ref="A5:A25" si="0">B5&amp;" - "&amp;C5</f>
        <v>Conservador - Tijolo</v>
      </c>
      <c r="B5" t="s">
        <v>18</v>
      </c>
      <c r="C5" t="s">
        <v>23</v>
      </c>
      <c r="D5" s="37">
        <v>0.5</v>
      </c>
    </row>
    <row r="6" spans="1:4" x14ac:dyDescent="0.25">
      <c r="A6" t="str">
        <f t="shared" si="0"/>
        <v>Conservador - Híbrido</v>
      </c>
      <c r="B6" t="s">
        <v>18</v>
      </c>
      <c r="C6" t="s">
        <v>24</v>
      </c>
      <c r="D6" s="37">
        <v>0.1</v>
      </c>
    </row>
    <row r="7" spans="1:4" x14ac:dyDescent="0.25">
      <c r="A7" t="str">
        <f t="shared" si="0"/>
        <v>Conservador - FOFs</v>
      </c>
      <c r="B7" t="s">
        <v>18</v>
      </c>
      <c r="C7" t="s">
        <v>26</v>
      </c>
      <c r="D7" s="37">
        <v>0.1</v>
      </c>
    </row>
    <row r="8" spans="1:4" x14ac:dyDescent="0.25">
      <c r="A8" t="str">
        <f t="shared" si="0"/>
        <v>Conservador - Desenvolvimento</v>
      </c>
      <c r="B8" t="s">
        <v>18</v>
      </c>
      <c r="C8" t="s">
        <v>27</v>
      </c>
      <c r="D8" s="37">
        <v>0</v>
      </c>
    </row>
    <row r="9" spans="1:4" x14ac:dyDescent="0.25">
      <c r="A9" t="str">
        <f t="shared" si="0"/>
        <v>Conservador - Hotelarias</v>
      </c>
      <c r="B9" t="s">
        <v>18</v>
      </c>
      <c r="C9" t="s">
        <v>28</v>
      </c>
      <c r="D9" s="37">
        <v>0</v>
      </c>
    </row>
    <row r="12" spans="1:4" x14ac:dyDescent="0.25">
      <c r="A12" t="str">
        <f t="shared" si="0"/>
        <v>Moderado - Papel</v>
      </c>
      <c r="B12" t="s">
        <v>17</v>
      </c>
      <c r="C12" t="s">
        <v>22</v>
      </c>
      <c r="D12" s="37">
        <v>0.3</v>
      </c>
    </row>
    <row r="13" spans="1:4" x14ac:dyDescent="0.25">
      <c r="A13" t="str">
        <f t="shared" si="0"/>
        <v>Moderado - Tijolo</v>
      </c>
      <c r="B13" t="s">
        <v>17</v>
      </c>
      <c r="C13" t="s">
        <v>23</v>
      </c>
      <c r="D13" s="37">
        <v>0.35</v>
      </c>
    </row>
    <row r="14" spans="1:4" x14ac:dyDescent="0.25">
      <c r="A14" t="str">
        <f t="shared" si="0"/>
        <v>Moderado - Híbrido</v>
      </c>
      <c r="B14" t="s">
        <v>17</v>
      </c>
      <c r="C14" t="s">
        <v>24</v>
      </c>
      <c r="D14" s="37">
        <v>0.1</v>
      </c>
    </row>
    <row r="15" spans="1:4" x14ac:dyDescent="0.25">
      <c r="A15" t="str">
        <f t="shared" si="0"/>
        <v>Moderado - FOFs</v>
      </c>
      <c r="B15" t="s">
        <v>17</v>
      </c>
      <c r="C15" t="s">
        <v>26</v>
      </c>
      <c r="D15" s="37">
        <v>0.05</v>
      </c>
    </row>
    <row r="16" spans="1:4" x14ac:dyDescent="0.25">
      <c r="A16" t="str">
        <f t="shared" si="0"/>
        <v>Moderado - Desenvolvimento</v>
      </c>
      <c r="B16" t="s">
        <v>17</v>
      </c>
      <c r="C16" t="s">
        <v>27</v>
      </c>
      <c r="D16" s="37">
        <v>0.1</v>
      </c>
    </row>
    <row r="17" spans="1:4" x14ac:dyDescent="0.25">
      <c r="A17" t="str">
        <f t="shared" si="0"/>
        <v>Moderado - Hotelarias</v>
      </c>
      <c r="B17" t="s">
        <v>17</v>
      </c>
      <c r="C17" t="s">
        <v>28</v>
      </c>
      <c r="D17" s="37">
        <v>0.1</v>
      </c>
    </row>
    <row r="20" spans="1:4" x14ac:dyDescent="0.25">
      <c r="A20" t="str">
        <f t="shared" si="0"/>
        <v>Agressivo - Papel</v>
      </c>
      <c r="B20" t="s">
        <v>16</v>
      </c>
      <c r="C20" t="s">
        <v>22</v>
      </c>
      <c r="D20" s="37">
        <v>0.5</v>
      </c>
    </row>
    <row r="21" spans="1:4" x14ac:dyDescent="0.25">
      <c r="A21" t="str">
        <f t="shared" si="0"/>
        <v>Agressivo - Tijolo</v>
      </c>
      <c r="B21" t="s">
        <v>16</v>
      </c>
      <c r="C21" t="s">
        <v>23</v>
      </c>
      <c r="D21" s="37">
        <v>0.1</v>
      </c>
    </row>
    <row r="22" spans="1:4" x14ac:dyDescent="0.25">
      <c r="A22" t="str">
        <f t="shared" si="0"/>
        <v>Agressivo - Híbrido</v>
      </c>
      <c r="B22" t="s">
        <v>16</v>
      </c>
      <c r="C22" t="s">
        <v>24</v>
      </c>
      <c r="D22" s="37">
        <v>0.05</v>
      </c>
    </row>
    <row r="23" spans="1:4" x14ac:dyDescent="0.25">
      <c r="A23" t="str">
        <f t="shared" si="0"/>
        <v>Agressivo - FOFs</v>
      </c>
      <c r="B23" t="s">
        <v>16</v>
      </c>
      <c r="C23" t="s">
        <v>26</v>
      </c>
      <c r="D23" s="37">
        <v>0.05</v>
      </c>
    </row>
    <row r="24" spans="1:4" x14ac:dyDescent="0.25">
      <c r="A24" t="str">
        <f t="shared" si="0"/>
        <v>Agressivo - Desenvolvimento</v>
      </c>
      <c r="B24" t="s">
        <v>16</v>
      </c>
      <c r="C24" t="s">
        <v>27</v>
      </c>
      <c r="D24" s="37">
        <v>0.2</v>
      </c>
    </row>
    <row r="25" spans="1:4" x14ac:dyDescent="0.25">
      <c r="A25" t="str">
        <f t="shared" si="0"/>
        <v>Agressivo - Hotelarias</v>
      </c>
      <c r="B25" t="s">
        <v>16</v>
      </c>
      <c r="C25" t="s">
        <v>28</v>
      </c>
      <c r="D25" s="37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Carteira</vt:lpstr>
      <vt:lpstr>Perfis</vt:lpstr>
      <vt:lpstr>Anos</vt:lpstr>
      <vt:lpstr>Aporte</vt:lpstr>
      <vt:lpstr>Proposta</vt:lpstr>
      <vt:lpstr>Rendimento</vt:lpstr>
      <vt:lpstr>Salario</vt:lpstr>
      <vt:lpstr>Taxa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Lucio Vale</dc:creator>
  <cp:lastModifiedBy>Lucio Vale</cp:lastModifiedBy>
  <dcterms:created xsi:type="dcterms:W3CDTF">2026-08-20T16:03:31Z</dcterms:created>
  <dcterms:modified xsi:type="dcterms:W3CDTF">2026-08-20T20:19:47Z</dcterms:modified>
</cp:coreProperties>
</file>